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0e641c386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c0a08aa87fc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0.00"/>
    <x:numFmt numFmtId="202" formatCode="0%"/>
    <x:numFmt numFmtId="203" formatCode="0"/>
  </x:numFmts>
  <x:fonts count="6">
    <x:font>
      <x:sz val="11"/>
      <x:name val="Carlito"/>
    </x:font>
    <x:font>
      <x:b/>
      <x:sz val="15"/>
      <x:name val="Arial"/>
    </x:font>
    <x:font>
      <x:sz val="10"/>
      <x:color rgb="FF111111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E53"/>
      </x:patternFill>
    </x:fill>
    <x:fill>
      <x:patternFill patternType="solid">
        <x:fgColor rgb="FFFFF8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BBC8D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00000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e831ae6b14970" /><Relationship Type="http://schemas.openxmlformats.org/officeDocument/2006/relationships/theme" Target="/xl/theme/theme1.xml" Id="Re27024e85e0d476b" /><Relationship Type="http://schemas.openxmlformats.org/officeDocument/2006/relationships/sharedStrings" Target="/xl/sharedStrings.xml" Id="R045bb287398b4722" /><Relationship Type="http://schemas.openxmlformats.org/officeDocument/2006/relationships/worksheet" Target="/xl/worksheets/sheet1.xml" Id="R2c0a08aa87fc43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1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C2" s="1" t="str">
        <x:v>Cellular rejuvenation financing plan</x:v>
      </x:c>
    </x:row>
    <x:row r="3" ht="23" customHeight="1">
      <x:c r="C3" s="3" t="str">
        <x:v>Illustrative planning assumptions dated 19 October 2026. All monetary amounts are USD millions.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C4" s="3" t="str">
        <x:v>Operating budget</x:v>
      </x:c>
      <x:c r="D4" s="12" t="n">
        <x:f>D15</x:f>
        <x:v>7.400000000000001</x:v>
      </x:c>
      <x:c r="E4" s="12"/>
      <x:c r="F4" s="12" t="str">
        <x:v>Ending cash</x:v>
      </x:c>
      <x:c r="G4" s="12" t="n">
        <x:f>L19</x:f>
        <x:v>0.599999999999999</x:v>
      </x:c>
      <x:c r="H4" s="12"/>
      <x:c r="I4" s="12" t="str">
        <x:v>Reserve</x:v>
      </x:c>
      <x:c r="J4" s="12" t="n">
        <x:f>F6</x:f>
        <x:v>0.6</x:v>
      </x:c>
      <x:c r="K4" s="12"/>
      <x:c r="L4" s="12"/>
    </x:row>
    <x:row r="5" ht="23" customHeight="1">
      <x:c r="C5" s="3"/>
      <x:c r="D5" s="12"/>
      <x:c r="E5" s="12"/>
      <x:c r="F5" s="12"/>
      <x:c r="G5" s="12"/>
      <x:c r="H5" s="12"/>
      <x:c r="I5" s="12"/>
      <x:c r="J5" s="12"/>
      <x:c r="K5" s="12"/>
      <x:c r="L5" s="12"/>
    </x:row>
    <x:row r="6" ht="38" customHeight="1">
      <x:c r="C6" s="7" t="str">
        <x:v>Financing at start</x:v>
      </x:c>
      <x:c r="D6" s="13" t="n">
        <x:v>8</x:v>
      </x:c>
      <x:c r="E6" s="14" t="str">
        <x:v>Reserve</x:v>
      </x:c>
      <x:c r="F6" s="13" t="n">
        <x:v>0.6</x:v>
      </x:c>
      <x:c r="G6" s="14" t="str">
        <x:v>Lab cost increase</x:v>
      </x:c>
      <x:c r="H6" s="18" t="n">
        <x:v>0.3</x:v>
      </x:c>
      <x:c r="I6" s="14" t="str">
        <x:v>Base receipts</x:v>
      </x:c>
      <x:c r="J6" s="13" t="n">
        <x:v>0</x:v>
      </x:c>
      <x:c r="K6" s="12"/>
      <x:c r="L6" s="12"/>
    </x:row>
    <x:row r="7" ht="23" customHeight="1">
      <x:c r="C7" s="3"/>
      <x:c r="D7" s="12"/>
      <x:c r="E7" s="12"/>
      <x:c r="F7" s="12"/>
      <x:c r="G7" s="12"/>
      <x:c r="H7" s="12"/>
      <x:c r="I7" s="12"/>
      <x:c r="J7" s="12"/>
      <x:c r="K7" s="12"/>
      <x:c r="L7" s="12"/>
    </x:row>
    <x:row r="8" ht="34" customHeight="1">
      <x:c r="C8" s="6" t="str">
        <x:v>Use of funds</x:v>
      </x:c>
      <x:c r="D8" s="15" t="str">
        <x:v>24 months</x:v>
      </x:c>
      <x:c r="E8" s="15" t="str">
        <x:v>Months 1 to 3</x:v>
      </x:c>
      <x:c r="F8" s="15" t="str">
        <x:v>Months 4 to 6</x:v>
      </x:c>
      <x:c r="G8" s="15" t="str">
        <x:v>Months 7 to 9</x:v>
      </x:c>
      <x:c r="H8" s="15" t="str">
        <x:v>Months 10 to 12</x:v>
      </x:c>
      <x:c r="I8" s="15" t="str">
        <x:v>Months 13 to 15</x:v>
      </x:c>
      <x:c r="J8" s="15" t="str">
        <x:v>Months 16 to 18</x:v>
      </x:c>
      <x:c r="K8" s="15" t="str">
        <x:v>Months 19 to 21</x:v>
      </x:c>
      <x:c r="L8" s="15" t="str">
        <x:v>Months 22 to 24</x:v>
      </x:c>
    </x:row>
    <x:row r="9" ht="23" customHeight="1">
      <x:c r="C9" s="3" t="str">
        <x:v>Personnel</x:v>
      </x:c>
      <x:c r="D9" s="12" t="n">
        <x:f>SUM(E9:L9)</x:f>
        <x:v>3.1999999999999997</x:v>
      </x:c>
      <x:c r="E9" s="12" t="n">
        <x:f>E24*$D$25/4</x:f>
        <x:v>0.28</x:v>
      </x:c>
      <x:c r="F9" s="12" t="n">
        <x:f>F24*$D$25/4</x:f>
        <x:v>0.34</x:v>
      </x:c>
      <x:c r="G9" s="12" t="n">
        <x:f>G24*$D$25/4</x:f>
        <x:v>0.38</x:v>
      </x:c>
      <x:c r="H9" s="12" t="n">
        <x:f>H24*$D$25/4</x:f>
        <x:v>0.4</x:v>
      </x:c>
      <x:c r="I9" s="12" t="n">
        <x:f>I24*$D$25/4</x:f>
        <x:v>0.43</x:v>
      </x:c>
      <x:c r="J9" s="12" t="n">
        <x:f>J24*$D$25/4</x:f>
        <x:v>0.45</x:v>
      </x:c>
      <x:c r="K9" s="12" t="n">
        <x:f>K24*$D$25/4</x:f>
        <x:v>0.46</x:v>
      </x:c>
      <x:c r="L9" s="12" t="n">
        <x:f>L24*$D$25/4</x:f>
        <x:v>0.46</x:v>
      </x:c>
    </x:row>
    <x:row r="10" ht="23" customHeight="1">
      <x:c r="C10" s="3" t="str">
        <x:v>Laboratory operations</x:v>
      </x:c>
      <x:c r="D10" s="12" t="n">
        <x:f>SUM(E10:L10)</x:f>
        <x:v>2.1</x:v>
      </x:c>
      <x:c r="E10" s="16" t="n">
        <x:v>0.08</x:v>
      </x:c>
      <x:c r="F10" s="16" t="n">
        <x:v>0.15</x:v>
      </x:c>
      <x:c r="G10" s="16" t="n">
        <x:v>0.22</x:v>
      </x:c>
      <x:c r="H10" s="16" t="n">
        <x:v>0.28</x:v>
      </x:c>
      <x:c r="I10" s="16" t="n">
        <x:v>0.32</x:v>
      </x:c>
      <x:c r="J10" s="16" t="n">
        <x:v>0.34</x:v>
      </x:c>
      <x:c r="K10" s="16" t="n">
        <x:v>0.35</x:v>
      </x:c>
      <x:c r="L10" s="16" t="n">
        <x:v>0.36</x:v>
      </x:c>
    </x:row>
    <x:row r="11" ht="23" customHeight="1">
      <x:c r="C11" s="3" t="str">
        <x:v>Compute and software</x:v>
      </x:c>
      <x:c r="D11" s="12" t="n">
        <x:f>SUM(E11:L11)</x:f>
        <x:v>0.6000000000000001</x:v>
      </x:c>
      <x:c r="E11" s="16" t="n">
        <x:v>0.08</x:v>
      </x:c>
      <x:c r="F11" s="16" t="n">
        <x:v>0.08</x:v>
      </x:c>
      <x:c r="G11" s="16" t="n">
        <x:v>0.08</x:v>
      </x:c>
      <x:c r="H11" s="16" t="n">
        <x:v>0.08</x:v>
      </x:c>
      <x:c r="I11" s="16" t="n">
        <x:v>0.07</x:v>
      </x:c>
      <x:c r="J11" s="16" t="n">
        <x:v>0.07</x:v>
      </x:c>
      <x:c r="K11" s="16" t="n">
        <x:v>0.07</x:v>
      </x:c>
      <x:c r="L11" s="16" t="n">
        <x:v>0.07</x:v>
      </x:c>
    </x:row>
    <x:row r="12" ht="23" customHeight="1">
      <x:c r="C12" s="3" t="str">
        <x:v>External studies</x:v>
      </x:c>
      <x:c r="D12" s="12" t="n">
        <x:f>SUM(E12:L12)</x:f>
        <x:v>0.8</x:v>
      </x:c>
      <x:c r="E12" s="16" t="n">
        <x:v>0.02</x:v>
      </x:c>
      <x:c r="F12" s="16" t="n">
        <x:v>0.04</x:v>
      </x:c>
      <x:c r="G12" s="16" t="n">
        <x:v>0.08</x:v>
      </x:c>
      <x:c r="H12" s="16" t="n">
        <x:v>0.1</x:v>
      </x:c>
      <x:c r="I12" s="16" t="n">
        <x:v>0.12</x:v>
      </x:c>
      <x:c r="J12" s="16" t="n">
        <x:v>0.14</x:v>
      </x:c>
      <x:c r="K12" s="16" t="n">
        <x:v>0.14</x:v>
      </x:c>
      <x:c r="L12" s="16" t="n">
        <x:v>0.16</x:v>
      </x:c>
    </x:row>
    <x:row r="13" ht="23" customHeight="1">
      <x:c r="C13" s="3" t="str">
        <x:v>IP and legal</x:v>
      </x:c>
      <x:c r="D13" s="12" t="n">
        <x:f>SUM(E13:L13)</x:f>
        <x:v>0.3499999999999999</x:v>
      </x:c>
      <x:c r="E13" s="16" t="n">
        <x:v>0.04</x:v>
      </x:c>
      <x:c r="F13" s="16" t="n">
        <x:v>0.04</x:v>
      </x:c>
      <x:c r="G13" s="16" t="n">
        <x:v>0.05</x:v>
      </x:c>
      <x:c r="H13" s="16" t="n">
        <x:v>0.05</x:v>
      </x:c>
      <x:c r="I13" s="16" t="n">
        <x:v>0.05</x:v>
      </x:c>
      <x:c r="J13" s="16" t="n">
        <x:v>0.04</x:v>
      </x:c>
      <x:c r="K13" s="16" t="n">
        <x:v>0.04</x:v>
      </x:c>
      <x:c r="L13" s="16" t="n">
        <x:v>0.04</x:v>
      </x:c>
    </x:row>
    <x:row r="14" ht="23" customHeight="1">
      <x:c r="C14" s="3" t="str">
        <x:v>Operating overhead</x:v>
      </x:c>
      <x:c r="D14" s="12" t="n">
        <x:f>SUM(E14:L14)</x:f>
        <x:v>0.35</x:v>
      </x:c>
      <x:c r="E14" s="16" t="n">
        <x:v>0.05</x:v>
      </x:c>
      <x:c r="F14" s="16" t="n">
        <x:v>0.05</x:v>
      </x:c>
      <x:c r="G14" s="16" t="n">
        <x:v>0.05</x:v>
      </x:c>
      <x:c r="H14" s="16" t="n">
        <x:v>0.04</x:v>
      </x:c>
      <x:c r="I14" s="16" t="n">
        <x:v>0.04</x:v>
      </x:c>
      <x:c r="J14" s="16" t="n">
        <x:v>0.04</x:v>
      </x:c>
      <x:c r="K14" s="16" t="n">
        <x:v>0.04</x:v>
      </x:c>
      <x:c r="L14" s="16" t="n">
        <x:v>0.04</x:v>
      </x:c>
    </x:row>
    <x:row r="15" ht="23" customHeight="1">
      <x:c r="C15" s="23" t="str">
        <x:v>Total operating costs</x:v>
      </x:c>
      <x:c r="D15" s="24" t="n">
        <x:f>SUM(E15:L15)</x:f>
        <x:v>7.400000000000001</x:v>
      </x:c>
      <x:c r="E15" s="24" t="n">
        <x:f>SUM(E9:E14)</x:f>
        <x:v>0.5500000000000002</x:v>
      </x:c>
      <x:c r="F15" s="24" t="n">
        <x:f>SUM(F9:F14)</x:f>
        <x:v>0.7000000000000001</x:v>
      </x:c>
      <x:c r="G15" s="24" t="n">
        <x:f>SUM(G9:G14)</x:f>
        <x:v>0.86</x:v>
      </x:c>
      <x:c r="H15" s="24" t="n">
        <x:f>SUM(H9:H14)</x:f>
        <x:v>0.9500000000000001</x:v>
      </x:c>
      <x:c r="I15" s="24" t="n">
        <x:f>SUM(I9:I14)</x:f>
        <x:v>1.03</x:v>
      </x:c>
      <x:c r="J15" s="24" t="n">
        <x:f>SUM(J9:J14)</x:f>
        <x:v>1.08</x:v>
      </x:c>
      <x:c r="K15" s="24" t="n">
        <x:f>SUM(K9:K14)</x:f>
        <x:v>1.1</x:v>
      </x:c>
      <x:c r="L15" s="24" t="n">
        <x:f>SUM(L9:L14)</x:f>
        <x:v>1.1300000000000001</x:v>
      </x:c>
    </x:row>
    <x:row r="16" ht="23" customHeight="1">
      <x:c r="C16" s="3" t="str">
        <x:v>Cash receipts</x:v>
      </x:c>
      <x:c r="D16" s="12" t="n">
        <x:f>SUM(E16:L16)</x:f>
        <x:v>0</x:v>
      </x:c>
      <x:c r="E16" s="12" t="n">
        <x:f>$J$6/8</x:f>
        <x:v>0</x:v>
      </x:c>
      <x:c r="F16" s="12" t="n">
        <x:f>$J$6/8</x:f>
        <x:v>0</x:v>
      </x:c>
      <x:c r="G16" s="12" t="n">
        <x:f>$J$6/8</x:f>
        <x:v>0</x:v>
      </x:c>
      <x:c r="H16" s="12" t="n">
        <x:f>$J$6/8</x:f>
        <x:v>0</x:v>
      </x:c>
      <x:c r="I16" s="12" t="n">
        <x:f>$J$6/8</x:f>
        <x:v>0</x:v>
      </x:c>
      <x:c r="J16" s="12" t="n">
        <x:f>$J$6/8</x:f>
        <x:v>0</x:v>
      </x:c>
      <x:c r="K16" s="12" t="n">
        <x:f>$J$6/8</x:f>
        <x:v>0</x:v>
      </x:c>
      <x:c r="L16" s="12" t="n">
        <x:f>$J$6/8</x:f>
        <x:v>0</x:v>
      </x:c>
    </x:row>
    <x:row r="17" ht="23" customHeight="1">
      <x:c r="C17" s="3" t="str">
        <x:v>Opening cash</x:v>
      </x:c>
      <x:c r="D17" s="12" t="n">
        <x:f>$D$6</x:f>
        <x:v>8</x:v>
      </x:c>
      <x:c r="E17" s="12" t="n">
        <x:f>$D$6</x:f>
        <x:v>8</x:v>
      </x:c>
      <x:c r="F17" s="12" t="n">
        <x:f>E19</x:f>
        <x:v>7.45</x:v>
      </x:c>
      <x:c r="G17" s="12" t="n">
        <x:f>F19</x:f>
        <x:v>6.75</x:v>
      </x:c>
      <x:c r="H17" s="12" t="n">
        <x:f>G19</x:f>
        <x:v>5.89</x:v>
      </x:c>
      <x:c r="I17" s="12" t="n">
        <x:f>H19</x:f>
        <x:v>4.9399999999999995</x:v>
      </x:c>
      <x:c r="J17" s="12" t="n">
        <x:f>I19</x:f>
        <x:v>3.9099999999999993</x:v>
      </x:c>
      <x:c r="K17" s="12" t="n">
        <x:f>J19</x:f>
        <x:v>2.829999999999999</x:v>
      </x:c>
      <x:c r="L17" s="12" t="n">
        <x:f>K19</x:f>
        <x:v>1.729999999999999</x:v>
      </x:c>
    </x:row>
    <x:row r="18" ht="23" customHeight="1">
      <x:c r="C18" s="3" t="str">
        <x:v>Net operating outflow</x:v>
      </x:c>
      <x:c r="D18" s="12" t="n">
        <x:f>SUM(E18:L18)</x:f>
        <x:v>7.400000000000001</x:v>
      </x:c>
      <x:c r="E18" s="12" t="n">
        <x:f>E15-E16</x:f>
        <x:v>0.5500000000000002</x:v>
      </x:c>
      <x:c r="F18" s="12" t="n">
        <x:f>F15-F16</x:f>
        <x:v>0.7000000000000001</x:v>
      </x:c>
      <x:c r="G18" s="12" t="n">
        <x:f>G15-G16</x:f>
        <x:v>0.86</x:v>
      </x:c>
      <x:c r="H18" s="12" t="n">
        <x:f>H15-H16</x:f>
        <x:v>0.9500000000000001</x:v>
      </x:c>
      <x:c r="I18" s="12" t="n">
        <x:f>I15-I16</x:f>
        <x:v>1.03</x:v>
      </x:c>
      <x:c r="J18" s="12" t="n">
        <x:f>J15-J16</x:f>
        <x:v>1.08</x:v>
      </x:c>
      <x:c r="K18" s="12" t="n">
        <x:f>K15-K16</x:f>
        <x:v>1.1</x:v>
      </x:c>
      <x:c r="L18" s="12" t="n">
        <x:f>L15-L16</x:f>
        <x:v>1.1300000000000001</x:v>
      </x:c>
    </x:row>
    <x:row r="19" ht="23" customHeight="1">
      <x:c r="C19" s="23" t="str">
        <x:v>Closing cash</x:v>
      </x:c>
      <x:c r="D19" s="24" t="n">
        <x:f>L19</x:f>
        <x:v>0.599999999999999</x:v>
      </x:c>
      <x:c r="E19" s="24" t="n">
        <x:f>E17-E18</x:f>
        <x:v>7.45</x:v>
      </x:c>
      <x:c r="F19" s="24" t="n">
        <x:f>F17-F18</x:f>
        <x:v>6.75</x:v>
      </x:c>
      <x:c r="G19" s="24" t="n">
        <x:f>G17-G18</x:f>
        <x:v>5.89</x:v>
      </x:c>
      <x:c r="H19" s="24" t="n">
        <x:f>H17-H18</x:f>
        <x:v>4.9399999999999995</x:v>
      </x:c>
      <x:c r="I19" s="24" t="n">
        <x:f>I17-I18</x:f>
        <x:v>3.9099999999999993</x:v>
      </x:c>
      <x:c r="J19" s="24" t="n">
        <x:f>J17-J18</x:f>
        <x:v>2.829999999999999</x:v>
      </x:c>
      <x:c r="K19" s="24" t="n">
        <x:f>K17-K18</x:f>
        <x:v>1.729999999999999</x:v>
      </x:c>
      <x:c r="L19" s="24" t="n">
        <x:f>L17-L18</x:f>
        <x:v>0.599999999999999</x:v>
      </x:c>
    </x:row>
    <x:row r="20" ht="23" customHeight="1">
      <x:c r="C20" s="23" t="str">
        <x:v>Uncommitted reserve</x:v>
      </x:c>
      <x:c r="D20" s="24" t="n">
        <x:f>$F$6</x:f>
        <x:v>0.6</x:v>
      </x:c>
      <x:c r="E20" s="24"/>
      <x:c r="F20" s="24"/>
      <x:c r="G20" s="24"/>
      <x:c r="H20" s="24"/>
      <x:c r="I20" s="24"/>
      <x:c r="J20" s="24"/>
      <x:c r="K20" s="24"/>
      <x:c r="L20" s="24"/>
    </x:row>
    <x:row r="21" ht="23" customHeight="1">
      <x:c r="C21" s="23" t="str">
        <x:v>Cash above reserve</x:v>
      </x:c>
      <x:c r="D21" s="24" t="n">
        <x:f>ROUND(D19-D20,6)</x:f>
        <x:v>0</x:v>
      </x:c>
      <x:c r="E21" s="24"/>
      <x:c r="F21" s="24"/>
      <x:c r="G21" s="24"/>
      <x:c r="H21" s="24"/>
      <x:c r="I21" s="24"/>
      <x:c r="J21" s="24"/>
      <x:c r="K21" s="24"/>
      <x:c r="L21" s="24"/>
    </x:row>
    <x:row r="22" ht="23" customHeight="1">
      <x:c r="C22" s="3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3" customHeight="1">
      <x:c r="C23" s="3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3" customHeight="1">
      <x:c r="C24" s="3" t="str">
        <x:v>Average paid FTE</x:v>
      </x:c>
      <x:c r="D24" s="12"/>
      <x:c r="E24" s="17" t="n">
        <x:v>7</x:v>
      </x:c>
      <x:c r="F24" s="17" t="n">
        <x:v>8.5</x:v>
      </x:c>
      <x:c r="G24" s="17" t="n">
        <x:v>9.5</x:v>
      </x:c>
      <x:c r="H24" s="17" t="n">
        <x:v>10</x:v>
      </x:c>
      <x:c r="I24" s="17" t="n">
        <x:v>10.75</x:v>
      </x:c>
      <x:c r="J24" s="17" t="n">
        <x:v>11.25</x:v>
      </x:c>
      <x:c r="K24" s="17" t="n">
        <x:v>11.5</x:v>
      </x:c>
      <x:c r="L24" s="17" t="n">
        <x:v>11.5</x:v>
      </x:c>
    </x:row>
    <x:row r="25" ht="23" customHeight="1">
      <x:c r="C25" s="3" t="str">
        <x:v>Annual loaded cost per FTE</x:v>
      </x:c>
      <x:c r="D25" s="16" t="n">
        <x:v>0.16</x:v>
      </x:c>
      <x:c r="E25" s="12"/>
      <x:c r="F25" s="12"/>
      <x:c r="G25" s="12"/>
      <x:c r="H25" s="12"/>
      <x:c r="I25" s="12"/>
      <x:c r="J25" s="12"/>
      <x:c r="K25" s="12"/>
      <x:c r="L25" s="12"/>
    </x:row>
    <x:row r="26" ht="23" customHeight="1">
      <x:c r="C26" s="3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3" customHeight="1">
      <x:c r="C27" s="3" t="str">
        <x:v>Additional laboratory and external cost</x:v>
      </x:c>
      <x:c r="D27" s="12" t="n">
        <x:f>SUM(D10,D12)*$H$6</x:f>
        <x:v>0.8700000000000001</x:v>
      </x:c>
      <x:c r="E27" s="12"/>
      <x:c r="F27" s="12"/>
      <x:c r="G27" s="12"/>
      <x:c r="H27" s="12"/>
      <x:c r="I27" s="12"/>
      <x:c r="J27" s="12"/>
      <x:c r="K27" s="12"/>
      <x:c r="L27" s="12"/>
    </x:row>
    <x:row r="28" ht="23" customHeight="1">
      <x:c r="C28" s="23" t="str">
        <x:v>Funding shortfall after reserve</x:v>
      </x:c>
      <x:c r="D28" s="24" t="n">
        <x:f>MAX(0,D27-$F$6)</x:f>
        <x:v>0.27000000000000013</x:v>
      </x:c>
      <x:c r="E28" s="24"/>
      <x:c r="F28" s="24"/>
      <x:c r="G28" s="24"/>
      <x:c r="H28" s="24"/>
      <x:c r="I28" s="24"/>
      <x:c r="J28" s="24"/>
      <x:c r="K28" s="24"/>
      <x:c r="L28" s="24"/>
    </x:row>
    <x:row r="29" ht="23" customHeight="1">
      <x:c r="C29" s="3" t="str">
        <x:v>Average operating burn per month</x:v>
      </x:c>
      <x:c r="D29" s="12" t="n">
        <x:f>D15/24</x:f>
        <x:v>0.3083333333333334</x:v>
      </x:c>
      <x:c r="E29" s="12"/>
      <x:c r="F29" s="12"/>
      <x:c r="G29" s="12"/>
      <x:c r="H29" s="12"/>
      <x:c r="I29" s="12"/>
      <x:c r="J29" s="12"/>
      <x:c r="K29" s="12"/>
      <x:c r="L29" s="12"/>
    </x:row>
    <x:row r="30" ht="23" customHeight="1"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34" customHeight="1">
      <x:c r="C31" s="6" t="str">
        <x:v>Reachable buyers</x:v>
      </x:c>
      <x:c r="D31" s="6" t="str">
        <x:v>Programs per buyer</x:v>
      </x:c>
      <x:c r="E31" s="6" t="str">
        <x:v>Pilot price</x:v>
      </x:c>
      <x:c r="F31" s="6" t="str">
        <x:v>Illustrative opportunity</x:v>
      </x:c>
      <x:c r="G31" s="6" t="str">
        <x:v>Basis</x:v>
      </x:c>
      <x:c r="H31" s="3"/>
      <x:c r="I31" s="3"/>
      <x:c r="J31" s="3"/>
      <x:c r="K31" s="3"/>
      <x:c r="L31" s="3"/>
    </x:row>
    <x:row r="32" ht="23" customHeight="1">
      <x:c r="C32" s="19" t="n">
        <x:v>40</x:v>
      </x:c>
      <x:c r="D32" s="19" t="n">
        <x:v>1</x:v>
      </x:c>
      <x:c r="E32" s="17" t="n">
        <x:v>0.5</x:v>
      </x:c>
      <x:c r="F32" s="20" t="n">
        <x:f>PRODUCT(C32:E32)</x:f>
        <x:v>20</x:v>
      </x:c>
      <x:c r="G32" s="3" t="str">
        <x:v>Buyer count and willingness to pay require validation</x:v>
      </x:c>
      <x:c r="H32" s="3"/>
      <x:c r="I32" s="3"/>
      <x:c r="J32" s="3"/>
      <x:c r="K32" s="3"/>
      <x:c r="L32" s="3"/>
    </x:row>
    <x:row r="33" ht="23" customHeight="1"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34" customHeight="1">
      <x:c r="C34" s="6" t="str">
        <x:v>Annual pilot capacity</x:v>
      </x:c>
      <x:c r="D34" s="6" t="str">
        <x:v>Pilot price</x:v>
      </x:c>
      <x:c r="E34" s="6" t="str">
        <x:v>Direct cost per pilot</x:v>
      </x:c>
      <x:c r="F34" s="6" t="str">
        <x:v>Revenue capacity</x:v>
      </x:c>
      <x:c r="G34" s="6" t="str">
        <x:v>Contribution before overhead</x:v>
      </x:c>
      <x:c r="H34" s="3"/>
      <x:c r="I34" s="3"/>
      <x:c r="J34" s="3"/>
      <x:c r="K34" s="3"/>
      <x:c r="L34" s="3"/>
    </x:row>
    <x:row r="35" ht="23" customHeight="1">
      <x:c r="C35" s="19" t="n">
        <x:v>2</x:v>
      </x:c>
      <x:c r="D35" s="20" t="n">
        <x:f>E32</x:f>
        <x:v>0.5</x:v>
      </x:c>
      <x:c r="E35" s="17" t="n">
        <x:v>0.3</x:v>
      </x:c>
      <x:c r="F35" s="20" t="n">
        <x:f>C35*D35</x:f>
        <x:v>1</x:v>
      </x:c>
      <x:c r="G35" s="20" t="n">
        <x:f>C35*(D35-E35)</x:f>
        <x:v>0.4</x:v>
      </x:c>
      <x:c r="H35" s="3"/>
      <x:c r="I35" s="3"/>
      <x:c r="J35" s="3"/>
      <x:c r="K35" s="3"/>
      <x:c r="L35" s="3"/>
    </x:row>
    <x:row r="36" ht="23" customHeight="1"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3" customHeight="1"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3" customHeight="1">
      <x:c r="C38" s="3" t="str">
        <x:v>Source: proposed management plan. No booked revenue, existing cash or laboratory quotation is represented.</x:v>
      </x:c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C39" s="3" t="str">
        <x:v>Clinical trials, GMP manufacturing and full IND-enabling work are outside this budget.</x:v>
      </x:c>
      <x:c r="D39" s="3"/>
      <x:c r="E39" s="3"/>
      <x:c r="F39" s="3"/>
      <x:c r="G39" s="3"/>
      <x:c r="H39" s="3"/>
      <x:c r="I39" s="3"/>
      <x:c r="J39" s="3"/>
      <x:c r="K39" s="3"/>
      <x:c r="L39" s="3"/>
    </x:row>
  </x:sheetData>
  <x:conditionalFormatting sqref="D21:D21">
    <x:cfRule type="cellIs" dxfId="0" priority="1" operator="lessThan">
      <x:formula>0</x:formula>
    </x:cfRule>
  </x:conditionalFormatting>
  <x:pageMargins left="0.7" right="0.7" top="0.75" bottom="0.75" header="0.3" footer="0.3"/>
</x:worksheet>
</file>